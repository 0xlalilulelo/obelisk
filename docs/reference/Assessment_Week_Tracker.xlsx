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15" windowWidth="29040" windowHeight="15840" tabRatio="600" firstSheet="1" activeTab="8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ay 1 - Lower" sheetId="2" state="visible" r:id="rId2"/>
    <sheet xmlns:r="http://schemas.openxmlformats.org/officeDocument/2006/relationships" name="Day 2 - MAF" sheetId="3" state="visible" r:id="rId3"/>
    <sheet xmlns:r="http://schemas.openxmlformats.org/officeDocument/2006/relationships" name="Day 3 - Upper" sheetId="4" state="visible" r:id="rId4"/>
    <sheet xmlns:r="http://schemas.openxmlformats.org/officeDocument/2006/relationships" name="Day 4 - Finger" sheetId="5" state="visible" r:id="rId5"/>
    <sheet xmlns:r="http://schemas.openxmlformats.org/officeDocument/2006/relationships" name="Day 5 - Power" sheetId="6" state="visible" r:id="rId6"/>
    <sheet xmlns:r="http://schemas.openxmlformats.org/officeDocument/2006/relationships" name="Day 6 - Mountain" sheetId="7" state="visible" r:id="rId7"/>
    <sheet xmlns:r="http://schemas.openxmlformats.org/officeDocument/2006/relationships" name="Day 7 - Stillness" sheetId="8" state="visible" r:id="rId8"/>
    <sheet xmlns:r="http://schemas.openxmlformats.org/officeDocument/2006/relationships" name="Baseline Summary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1F4E79"/>
      <sz val="18"/>
    </font>
    <font>
      <name val="Calibri"/>
      <i val="1"/>
      <color rgb="FF595959"/>
      <sz val="10"/>
    </font>
    <font>
      <name val="Calibri"/>
      <b val="1"/>
      <color rgb="FF1F4E79"/>
      <sz val="14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9E2F3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0" fillId="3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4" borderId="1" pivotButton="0" quotePrefix="0" xfId="0"/>
    <xf numFmtId="0" fontId="5" fillId="0" borderId="1" applyAlignment="1" pivotButton="0" quotePrefix="0" xfId="0">
      <alignment vertical="top" wrapText="1"/>
    </xf>
    <xf numFmtId="0" fontId="4" fillId="5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0" borderId="0" pivotButton="0" quotePrefix="0" xfId="0"/>
    <xf numFmtId="0" fontId="5" fillId="0" borderId="1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5" borderId="1" pivotButton="0" quotePrefix="0" xfId="0"/>
    <xf numFmtId="0" fontId="5" fillId="0" borderId="0" applyAlignment="1" pivotButton="0" quotePrefix="0" xfId="0">
      <alignment vertical="top" wrapText="1"/>
    </xf>
    <xf numFmtId="20" fontId="0" fillId="3" borderId="1" pivotButton="0" quotePrefix="0" xfId="0"/>
    <xf numFmtId="0" fontId="0" fillId="3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0" fontId="0" fillId="0" borderId="4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5" applyAlignment="1" pivotButton="0" quotePrefix="0" xfId="0">
      <alignment vertical="top"/>
    </xf>
    <xf numFmtId="0" fontId="0" fillId="0" borderId="6" applyAlignment="1" pivotButton="0" quotePrefix="0" xfId="0">
      <alignment vertical="top"/>
    </xf>
    <xf numFmtId="0" fontId="0" fillId="0" borderId="7" applyAlignment="1" pivotButton="0" quotePrefix="0" xfId="0">
      <alignment vertical="top"/>
    </xf>
    <xf numFmtId="0" fontId="0" fillId="0" borderId="8" applyAlignment="1" pivotButton="0" quotePrefix="0" xfId="0">
      <alignment vertical="top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4"/>
  <sheetViews>
    <sheetView workbookViewId="0">
      <selection activeCell="C16" sqref="C16"/>
    </sheetView>
  </sheetViews>
  <sheetFormatPr baseColWidth="8" defaultRowHeight="15"/>
  <cols>
    <col width="4" customWidth="1" style="22" min="1" max="1"/>
    <col width="22" customWidth="1" style="22" min="2" max="2"/>
    <col width="70" customWidth="1" style="22" min="3" max="3"/>
  </cols>
  <sheetData>
    <row r="2" ht="23.25" customHeight="1" s="22">
      <c r="B2" s="23" t="inlineStr">
        <is>
          <t>Assessment Week — Hybrid Tactical + Climber</t>
        </is>
      </c>
    </row>
    <row r="3">
      <c r="B3" s="21" t="inlineStr">
        <is>
          <t>Age 34  •  MAF cap = 146 bpm</t>
        </is>
      </c>
    </row>
    <row r="5" ht="18.75" customHeight="1" s="22">
      <c r="B5" s="25" t="inlineStr">
        <is>
          <t>How to use</t>
        </is>
      </c>
    </row>
    <row r="6">
      <c r="B6" s="4" t="inlineStr">
        <is>
          <t>1.</t>
        </is>
      </c>
      <c r="C6" s="31" t="inlineStr">
        <is>
          <t>Fill in yellow cells as you complete each test. Green cells auto-compute.</t>
        </is>
      </c>
    </row>
    <row r="7" ht="30" customHeight="1" s="22">
      <c r="B7" s="4" t="inlineStr">
        <is>
          <t>2.</t>
        </is>
      </c>
      <c r="C7" s="31" t="inlineStr">
        <is>
          <t>Don't push true 1RMs — use 3-5RM and let the formula estimate. Safer and easier to repeat.</t>
        </is>
      </c>
    </row>
    <row r="8" ht="30" customHeight="1" s="22">
      <c r="B8" s="4" t="inlineStr">
        <is>
          <t>3.</t>
        </is>
      </c>
      <c r="C8" s="31" t="inlineStr">
        <is>
          <t>If a day feels off (RHR up, sleep &lt;6h), shift it. Re-test the same protocol on the next available day.</t>
        </is>
      </c>
    </row>
    <row r="9" ht="30" customHeight="1" s="22">
      <c r="B9" s="4" t="inlineStr">
        <is>
          <t>4.</t>
        </is>
      </c>
      <c r="C9" s="31" t="inlineStr">
        <is>
          <t>Same protocols, same equipment, same conditions on every re-test. Consistency &gt; heroics.</t>
        </is>
      </c>
    </row>
    <row r="10" ht="30" customHeight="1" s="22">
      <c r="B10" s="4" t="inlineStr">
        <is>
          <t>5.</t>
        </is>
      </c>
      <c r="C10" s="31" t="inlineStr">
        <is>
          <t>When the week is done, the Summary tab is your baseline. We'll program off it for the next 6-12 weeks.</t>
        </is>
      </c>
    </row>
    <row r="12" ht="18.75" customHeight="1" s="22">
      <c r="B12" s="25" t="inlineStr">
        <is>
          <t>Week at a glance</t>
        </is>
      </c>
    </row>
    <row r="13">
      <c r="B13" s="6" t="inlineStr">
        <is>
          <t>Day</t>
        </is>
      </c>
      <c r="C13" s="7" t="inlineStr">
        <is>
          <t>Session</t>
        </is>
      </c>
    </row>
    <row r="14">
      <c r="B14" s="8" t="inlineStr">
        <is>
          <t>Mon</t>
        </is>
      </c>
      <c r="C14" s="26" t="inlineStr">
        <is>
          <t>Lower-body strength (Back Squat + Deadlift 3-5RM)</t>
        </is>
      </c>
    </row>
    <row r="15">
      <c r="B15" s="8" t="inlineStr">
        <is>
          <t>Tue</t>
        </is>
      </c>
      <c r="C15" s="26" t="inlineStr">
        <is>
          <t>MAF Test (30 min @ 146 bpm, recorded modality)</t>
        </is>
      </c>
    </row>
    <row r="16">
      <c r="B16" s="8" t="inlineStr">
        <is>
          <t>Wed</t>
        </is>
      </c>
      <c r="C16" s="26" t="inlineStr">
        <is>
          <t>Upper-body strength (Bench, Press, Pull-ups, Weighted Pull-up)</t>
        </is>
      </c>
    </row>
    <row r="17">
      <c r="B17" s="8" t="inlineStr">
        <is>
          <t>Thu</t>
        </is>
      </c>
      <c r="C17" s="26" t="inlineStr">
        <is>
          <t>Finger strength (Lattice 20mm hang test) + antagonist recovery</t>
        </is>
      </c>
    </row>
    <row r="18">
      <c r="B18" s="8" t="inlineStr">
        <is>
          <t>Fri</t>
        </is>
      </c>
      <c r="C18" s="26" t="inlineStr">
        <is>
          <t>Power (Power Clean + Front Squat 3-5RM) + 2000m row TT</t>
        </is>
      </c>
    </row>
    <row r="19">
      <c r="B19" s="8" t="inlineStr">
        <is>
          <t>Sat</t>
        </is>
      </c>
      <c r="C19" s="26" t="inlineStr">
        <is>
          <t>Loaded mountain test (pack hike @ 75% MHR)</t>
        </is>
      </c>
    </row>
    <row r="20">
      <c r="B20" s="8" t="inlineStr">
        <is>
          <t>Sun</t>
        </is>
      </c>
      <c r="C20" s="26" t="inlineStr">
        <is>
          <t>Stillness — bodyweight, RHR avg, mobility screen</t>
        </is>
      </c>
    </row>
    <row r="22" ht="18.75" customHeight="1" s="22">
      <c r="B22" s="25" t="inlineStr">
        <is>
          <t>Legend</t>
        </is>
      </c>
    </row>
    <row r="23">
      <c r="B23" s="10" t="inlineStr">
        <is>
          <t>Yellow cell</t>
        </is>
      </c>
      <c r="C23" s="26" t="inlineStr">
        <is>
          <t>You fill this in</t>
        </is>
      </c>
    </row>
    <row r="24">
      <c r="B24" s="11" t="inlineStr">
        <is>
          <t>Green cell</t>
        </is>
      </c>
      <c r="C24" s="26" t="inlineStr">
        <is>
          <t>Auto-computed from yellow cells (do not edit)</t>
        </is>
      </c>
    </row>
  </sheetData>
  <mergeCells count="2">
    <mergeCell ref="B3:C3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9"/>
  <sheetViews>
    <sheetView workbookViewId="0">
      <selection activeCell="H17" sqref="H17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1 — Lower-body strength</t>
        </is>
      </c>
    </row>
    <row r="3">
      <c r="B3" s="21" t="inlineStr">
        <is>
          <t>Warm-up: 10-min easy bike + 2 rounds Six-Way BB Complex unloaded.</t>
        </is>
      </c>
    </row>
    <row r="5">
      <c r="B5" s="4" t="inlineStr">
        <is>
          <t>Bodyweight (lb):</t>
        </is>
      </c>
      <c r="C5" s="12" t="n">
        <v>177</v>
      </c>
    </row>
    <row r="7" ht="18.75" customHeight="1" s="22">
      <c r="B7" s="25" t="inlineStr">
        <is>
          <t>Strength tests (3-5RM each)</t>
        </is>
      </c>
    </row>
    <row r="8" ht="30" customHeight="1" s="22">
      <c r="B8" s="13" t="inlineStr">
        <is>
          <t>Lift</t>
        </is>
      </c>
      <c r="C8" s="13" t="inlineStr">
        <is>
          <t>Weight (lb)</t>
        </is>
      </c>
      <c r="D8" s="13" t="inlineStr">
        <is>
          <t>Reps</t>
        </is>
      </c>
      <c r="E8" s="13" t="inlineStr">
        <is>
          <t>Est. 1RM (Epley)</t>
        </is>
      </c>
      <c r="F8" s="13" t="inlineStr">
        <is>
          <t>RPE (1-10)</t>
        </is>
      </c>
      <c r="G8" s="13" t="inlineStr">
        <is>
          <t>Notes / target</t>
        </is>
      </c>
    </row>
    <row r="9">
      <c r="B9" s="24" t="inlineStr">
        <is>
          <t>Ramp warm-up: bar x 5, then +45/65/85/105/etc until you're 1-2 jumps from your max-reps weight. Top set: 3-5 clean reps. Stop when reps would slow or break form. Leave 0-1 reps in reserve.</t>
        </is>
      </c>
    </row>
    <row r="10">
      <c r="B10" s="24" t="inlineStr">
        <is>
          <t>Epley estimate: 1RM = Weight × (1 + Reps/30). Best for 3-10 rep range; less accurate at very low reps.</t>
        </is>
      </c>
    </row>
    <row r="12">
      <c r="B12" s="27" t="inlineStr">
        <is>
          <t>Back Squat</t>
        </is>
      </c>
      <c r="C12" s="12" t="n">
        <v>235</v>
      </c>
      <c r="D12" s="12" t="n">
        <v>3</v>
      </c>
      <c r="E12" s="15">
        <f>IF(AND(ISNUMBER(C12),ISNUMBER(D12)),ROUND(C12*(1+D12/30),0),"")</f>
        <v/>
      </c>
      <c r="F12" s="12" t="n">
        <v>9</v>
      </c>
      <c r="G12" s="16" t="inlineStr">
        <is>
          <t>Stop on first slow rep</t>
        </is>
      </c>
    </row>
    <row r="13">
      <c r="B13" s="27" t="inlineStr">
        <is>
          <t>Deadlift</t>
        </is>
      </c>
      <c r="C13" s="12" t="n">
        <v>315</v>
      </c>
      <c r="D13" s="12" t="n">
        <v>2</v>
      </c>
      <c r="E13" s="15">
        <f>IF(AND(ISNUMBER(C13),ISNUMBER(D13)),ROUND(C13*(1+D13/30),0),"")</f>
        <v/>
      </c>
      <c r="F13" s="12" t="n">
        <v>10</v>
      </c>
      <c r="G13" s="16" t="inlineStr">
        <is>
          <t>1 work set only — heaviest stress lift</t>
        </is>
      </c>
    </row>
    <row r="16">
      <c r="B16" s="4" t="inlineStr">
        <is>
          <t>Session notes (sleep, energy, bar speed):</t>
        </is>
      </c>
    </row>
    <row r="17" ht="60" customHeight="1" s="22">
      <c r="B17" s="33" t="inlineStr">
        <is>
          <t>Between 7-8 hours of sleep the night before. Energy felt good. I was able to move the bar really well on back squats. On deadlift I reached my max pretty fast. I failed a 3rd rep on 315, only achieving 2 completed reps, with the bar barely being pulled off the ground.</t>
        </is>
      </c>
      <c r="C17" s="51" t="n"/>
      <c r="D17" s="51" t="n"/>
      <c r="E17" s="51" t="n"/>
      <c r="F17" s="51" t="n"/>
      <c r="G17" s="52" t="n"/>
    </row>
    <row r="18">
      <c r="B18" s="53" t="n"/>
      <c r="G18" s="54" t="n"/>
    </row>
    <row r="19">
      <c r="B19" s="55" t="n"/>
      <c r="C19" s="56" t="n"/>
      <c r="D19" s="56" t="n"/>
      <c r="E19" s="56" t="n"/>
      <c r="F19" s="56" t="n"/>
      <c r="G19" s="57" t="n"/>
    </row>
  </sheetData>
  <mergeCells count="6">
    <mergeCell ref="B3:G3"/>
    <mergeCell ref="B2:G2"/>
    <mergeCell ref="B10:G10"/>
    <mergeCell ref="B9:G9"/>
    <mergeCell ref="B17:G19"/>
    <mergeCell ref="B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B21" sqref="B21:G23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2 — MAF aerobic baseline</t>
        </is>
      </c>
    </row>
    <row r="3">
      <c r="B3" s="21" t="inlineStr">
        <is>
          <t>30 min continuous at exactly 146 bpm (180−34). Pick ONE modality and stay with it across re-tests.</t>
        </is>
      </c>
    </row>
    <row r="5">
      <c r="B5" s="4" t="inlineStr">
        <is>
          <t>Modality (run / bike / ruck):</t>
        </is>
      </c>
      <c r="C5" s="12" t="inlineStr">
        <is>
          <t>run</t>
        </is>
      </c>
    </row>
    <row r="6">
      <c r="B6" s="4" t="inlineStr">
        <is>
          <t>HR cap (bpm):</t>
        </is>
      </c>
      <c r="C6" s="15" t="n">
        <v>146</v>
      </c>
    </row>
    <row r="8" ht="18.75" customHeight="1" s="22">
      <c r="B8" s="25" t="inlineStr">
        <is>
          <t>30-min MAF test</t>
        </is>
      </c>
    </row>
    <row r="9">
      <c r="B9" s="13" t="inlineStr">
        <is>
          <t>Metric</t>
        </is>
      </c>
      <c r="C9" s="13" t="inlineStr">
        <is>
          <t>Value</t>
        </is>
      </c>
      <c r="D9" s="13" t="inlineStr">
        <is>
          <t>Unit</t>
        </is>
      </c>
      <c r="E9" s="13" t="n"/>
      <c r="F9" s="13" t="n"/>
      <c r="G9" s="13" t="inlineStr">
        <is>
          <t>Notes</t>
        </is>
      </c>
    </row>
    <row r="10">
      <c r="B10" s="24" t="inlineStr">
        <is>
          <t>Warm up 10-15 min — gradually raise HR. The test starts when you hit 146 bpm. Hold ≤146 the whole 30 min (slow down or walk if you spike).</t>
        </is>
      </c>
    </row>
    <row r="11">
      <c r="B11" s="24" t="inlineStr">
        <is>
          <t>On running: pace will probably feel embarrassingly slow the first few months. That's the point. Same test in 6-8 wks will show a faster pace at the same HR.</t>
        </is>
      </c>
    </row>
    <row r="12">
      <c r="B12" s="24" t="inlineStr">
        <is>
          <t>If you don't have an HR monitor, use nose-breathing-only as a proxy: pace where you can breathe through your nose the whole way.</t>
        </is>
      </c>
    </row>
    <row r="14">
      <c r="B14" s="27" t="inlineStr">
        <is>
          <t>Total distance (mi)</t>
        </is>
      </c>
      <c r="C14" s="12" t="n">
        <v>2.26</v>
      </c>
      <c r="D14" s="12" t="inlineStr">
        <is>
          <t>mi</t>
        </is>
      </c>
    </row>
    <row r="15">
      <c r="B15" s="27" t="inlineStr">
        <is>
          <t>Total elevation gain (ft)</t>
        </is>
      </c>
      <c r="C15" s="12" t="n">
        <v>121</v>
      </c>
      <c r="D15" s="12" t="inlineStr">
        <is>
          <t>ft</t>
        </is>
      </c>
    </row>
    <row r="16">
      <c r="B16" s="27" t="inlineStr">
        <is>
          <t>Average pace (min/mi)</t>
        </is>
      </c>
      <c r="C16" s="32" t="n">
        <v>0.5715277777777777</v>
      </c>
      <c r="D16" s="12" t="inlineStr">
        <is>
          <t>min/mi</t>
        </is>
      </c>
    </row>
    <row r="17">
      <c r="B17" s="27" t="inlineStr">
        <is>
          <t>Average HR (bpm)</t>
        </is>
      </c>
      <c r="C17" s="12" t="n">
        <v>146</v>
      </c>
      <c r="D17" s="12" t="inlineStr">
        <is>
          <t>bpm</t>
        </is>
      </c>
    </row>
    <row r="18">
      <c r="B18" s="27" t="inlineStr">
        <is>
          <t>Felt-effort RPE (1-10)</t>
        </is>
      </c>
      <c r="C18" s="12" t="n">
        <v>5</v>
      </c>
      <c r="D18" s="12" t="inlineStr">
        <is>
          <t>rpe</t>
        </is>
      </c>
    </row>
    <row r="20">
      <c r="B20" s="4" t="inlineStr">
        <is>
          <t>Session notes:</t>
        </is>
      </c>
    </row>
    <row r="21" ht="60" customHeight="1" s="22">
      <c r="B21" s="33" t="inlineStr">
        <is>
          <t>8 hours of sleep the night before. Relatively easy run. Stayed in Zone 2 most of the run. Had plenty of energy leftover after the run.</t>
        </is>
      </c>
      <c r="C21" s="51" t="n"/>
      <c r="D21" s="51" t="n"/>
      <c r="E21" s="51" t="n"/>
      <c r="F21" s="51" t="n"/>
      <c r="G21" s="52" t="n"/>
    </row>
    <row r="22">
      <c r="B22" s="53" t="n"/>
      <c r="G22" s="54" t="n"/>
    </row>
    <row r="23">
      <c r="B23" s="55" t="n"/>
      <c r="C23" s="56" t="n"/>
      <c r="D23" s="56" t="n"/>
      <c r="E23" s="56" t="n"/>
      <c r="F23" s="56" t="n"/>
      <c r="G23" s="57" t="n"/>
    </row>
  </sheetData>
  <mergeCells count="7">
    <mergeCell ref="B3:G3"/>
    <mergeCell ref="B2:G2"/>
    <mergeCell ref="B10:G10"/>
    <mergeCell ref="B21:G23"/>
    <mergeCell ref="B8:G8"/>
    <mergeCell ref="B12:G12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B24" sqref="B24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3 — Upper-body strength + pulling</t>
        </is>
      </c>
    </row>
    <row r="3">
      <c r="B3" s="21" t="inlineStr">
        <is>
          <t>Warm-up: 10 min easy row + scapular activation + band pull-aparts.</t>
        </is>
      </c>
    </row>
    <row r="5">
      <c r="B5" s="4" t="inlineStr">
        <is>
          <t>Bodyweight (lb):</t>
        </is>
      </c>
      <c r="C5" s="12" t="n">
        <v>177</v>
      </c>
    </row>
    <row r="7" ht="18.75" customHeight="1" s="22">
      <c r="B7" s="25" t="inlineStr">
        <is>
          <t>Strength tests (3-5RM)</t>
        </is>
      </c>
    </row>
    <row r="8" ht="30" customHeight="1" s="22">
      <c r="B8" s="13" t="inlineStr">
        <is>
          <t>Lift</t>
        </is>
      </c>
      <c r="C8" s="13" t="inlineStr">
        <is>
          <t>Weight (lb)</t>
        </is>
      </c>
      <c r="D8" s="13" t="inlineStr">
        <is>
          <t>Reps</t>
        </is>
      </c>
      <c r="E8" s="13" t="inlineStr">
        <is>
          <t>Est. 1RM (Epley)</t>
        </is>
      </c>
      <c r="F8" s="13" t="inlineStr">
        <is>
          <t>RPE (1-10)</t>
        </is>
      </c>
      <c r="G8" s="13" t="inlineStr">
        <is>
          <t>Notes</t>
        </is>
      </c>
    </row>
    <row r="10">
      <c r="B10" s="27" t="inlineStr">
        <is>
          <t>Bench Press</t>
        </is>
      </c>
      <c r="C10" s="12" t="n">
        <v>165</v>
      </c>
      <c r="D10" s="12" t="n">
        <v>3</v>
      </c>
      <c r="E10" s="15">
        <f>IF(AND(ISNUMBER(C10),ISNUMBER(D10)),ROUND(C10*(1+D10/30),0),"")</f>
        <v/>
      </c>
      <c r="F10" s="12" t="n">
        <v>9</v>
      </c>
      <c r="G10" s="27" t="inlineStr">
        <is>
          <t>Pause on chest</t>
        </is>
      </c>
    </row>
    <row r="11">
      <c r="B11" s="27" t="inlineStr">
        <is>
          <t>Strict Press (Standing OHP)</t>
        </is>
      </c>
      <c r="C11" s="12" t="n">
        <v>115</v>
      </c>
      <c r="D11" s="12" t="n">
        <v>2</v>
      </c>
      <c r="E11" s="15">
        <f>IF(AND(ISNUMBER(C11),ISNUMBER(D11)),ROUND(C11*(1+D11/30),0),"")</f>
        <v/>
      </c>
      <c r="F11" s="12" t="n">
        <v>10</v>
      </c>
      <c r="G11" s="27" t="inlineStr">
        <is>
          <t>No leg drive</t>
        </is>
      </c>
    </row>
    <row r="14" ht="18.75" customHeight="1" s="22">
      <c r="B14" s="25" t="inlineStr">
        <is>
          <t>Pull-up tests</t>
        </is>
      </c>
    </row>
    <row r="15" ht="30" customHeight="1" s="22">
      <c r="B15" s="13" t="inlineStr">
        <is>
          <t>Test</t>
        </is>
      </c>
      <c r="C15" s="13" t="inlineStr">
        <is>
          <t>Reps</t>
        </is>
      </c>
      <c r="D15" s="13" t="inlineStr">
        <is>
          <t>Weight added (lb)</t>
        </is>
      </c>
      <c r="E15" s="13" t="inlineStr">
        <is>
          <t>Est. 1RM</t>
        </is>
      </c>
      <c r="F15" s="13" t="inlineStr">
        <is>
          <t>RPE</t>
        </is>
      </c>
      <c r="G15" s="13" t="inlineStr">
        <is>
          <t>Notes</t>
        </is>
      </c>
    </row>
    <row r="17">
      <c r="B17" s="27" t="inlineStr">
        <is>
          <t>Max strict pull-ups (no weight)</t>
        </is>
      </c>
      <c r="C17" s="12" t="n">
        <v>10</v>
      </c>
      <c r="F17" s="12" t="n">
        <v>10</v>
      </c>
      <c r="G17" s="27" t="inlineStr">
        <is>
          <t>Full ROM, dead hang to chin over bar</t>
        </is>
      </c>
    </row>
    <row r="18">
      <c r="B18" s="27" t="inlineStr">
        <is>
          <t>Weighted pull-up 3RM</t>
        </is>
      </c>
      <c r="C18" s="12" t="n">
        <v>3</v>
      </c>
      <c r="D18" s="12" t="n">
        <v>15</v>
      </c>
      <c r="E18" s="15">
        <f>IF(AND(ISNUMBER(D18),ISNUMBER(C5)),ROUND((C5+D18)*(1+C18/30),0),"")</f>
        <v/>
      </c>
      <c r="F18" s="12" t="n">
        <v>9</v>
      </c>
      <c r="G18" s="27" t="inlineStr">
        <is>
          <t>Total = BW + added</t>
        </is>
      </c>
    </row>
    <row r="20">
      <c r="B20" s="4" t="inlineStr">
        <is>
          <t>Session notes:</t>
        </is>
      </c>
    </row>
    <row r="21" ht="60" customHeight="1" s="22">
      <c r="B21" s="33" t="inlineStr">
        <is>
          <t>8 hours of sleep the night before. Was able to maintain a good pace on moving the bar for both bench press and strict press until I found my limit. Pull-up test the same. Felt like I was able to max out bodyweight strict pull-ups. Added weight in 5lb increments for the 3RM.</t>
        </is>
      </c>
      <c r="C21" s="51" t="n"/>
      <c r="D21" s="51" t="n"/>
      <c r="E21" s="51" t="n"/>
      <c r="F21" s="51" t="n"/>
      <c r="G21" s="52" t="n"/>
    </row>
    <row r="22">
      <c r="B22" s="53" t="n"/>
      <c r="G22" s="54" t="n"/>
    </row>
    <row r="23">
      <c r="B23" s="55" t="n"/>
      <c r="C23" s="56" t="n"/>
      <c r="D23" s="56" t="n"/>
      <c r="E23" s="56" t="n"/>
      <c r="F23" s="56" t="n"/>
      <c r="G23" s="57" t="n"/>
    </row>
  </sheetData>
  <mergeCells count="5">
    <mergeCell ref="B3:G3"/>
    <mergeCell ref="B2:G2"/>
    <mergeCell ref="B14:G14"/>
    <mergeCell ref="B7:G7"/>
    <mergeCell ref="B21:G2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G30"/>
  <sheetViews>
    <sheetView topLeftCell="A6" workbookViewId="0">
      <selection activeCell="C6" sqref="C6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4 — Finger strength + active recovery</t>
        </is>
      </c>
    </row>
    <row r="3">
      <c r="B3" s="21" t="inlineStr">
        <is>
          <t>No climbing wall access — Lattice 20mm hang test only, then antagonist/prehab.</t>
        </is>
      </c>
    </row>
    <row r="5">
      <c r="B5" s="4" t="inlineStr">
        <is>
          <t>Bodyweight (lb):</t>
        </is>
      </c>
      <c r="C5" s="12" t="n">
        <v>177</v>
      </c>
    </row>
    <row r="7" ht="18.75" customHeight="1" s="22">
      <c r="B7" s="25" t="inlineStr">
        <is>
          <t>Lattice 20mm 2-arm dead-hang test</t>
        </is>
      </c>
    </row>
    <row r="8">
      <c r="B8" s="13" t="inlineStr">
        <is>
          <t>Test</t>
        </is>
      </c>
      <c r="C8" s="13" t="inlineStr">
        <is>
          <t>Value</t>
        </is>
      </c>
      <c r="D8" s="13" t="inlineStr">
        <is>
          <t>Unit</t>
        </is>
      </c>
      <c r="E8" s="13" t="inlineStr">
        <is>
          <t>Computed</t>
        </is>
      </c>
      <c r="F8" s="13" t="n"/>
      <c r="G8" s="13" t="inlineStr">
        <is>
          <t>Notes</t>
        </is>
      </c>
    </row>
    <row r="9">
      <c r="B9" s="24" t="inlineStr">
        <is>
          <t>Protocol: warm up shoulders + fingers (~15 min). Hang from 20mm edge, half-crimp, arms straight, shoulders engaged.</t>
        </is>
      </c>
    </row>
    <row r="10">
      <c r="B10" s="24" t="inlineStr">
        <is>
          <t>Step 1: max bodyweight hang time. Step 2: add weight in 5-lb increments with 3-5 min rest. Find max added weight where you can hold 7s clean.</t>
        </is>
      </c>
    </row>
    <row r="11">
      <c r="B11" s="24" t="inlineStr">
        <is>
          <t>Half-crimp = first knuckle ~90°, second straight or slightly extended. Full crimp / open hand are different tests.</t>
        </is>
      </c>
    </row>
    <row r="12">
      <c r="B12" s="24" t="inlineStr">
        <is>
          <t>Re-test on same day-of-week, same time-of-day, fresh CNS.</t>
        </is>
      </c>
    </row>
    <row r="14">
      <c r="B14" s="27" t="inlineStr">
        <is>
          <t>Max BW hang time (sec)</t>
        </is>
      </c>
      <c r="C14" s="12" t="n">
        <v>12</v>
      </c>
      <c r="D14" s="27" t="inlineStr">
        <is>
          <t>sec</t>
        </is>
      </c>
      <c r="G14" s="27" t="inlineStr">
        <is>
          <t>Body-weight only</t>
        </is>
      </c>
    </row>
    <row r="15">
      <c r="B15" s="27" t="inlineStr">
        <is>
          <t>Max added weight for 7s hang (lb)</t>
        </is>
      </c>
      <c r="C15" s="12" t="n">
        <v>15</v>
      </c>
      <c r="D15" s="27" t="inlineStr">
        <is>
          <t>lb</t>
        </is>
      </c>
      <c r="E15" s="15">
        <f>IFERROR(ROUND((C5+C15)/C5*100,1)&amp;"% BW","")</f>
        <v/>
      </c>
      <c r="G15" s="27" t="inlineStr">
        <is>
          <t>Total load as % of BW</t>
        </is>
      </c>
    </row>
    <row r="17" ht="18.75" customHeight="1" s="22">
      <c r="B17" s="25" t="inlineStr">
        <is>
          <t>Lattice benchmark guide</t>
        </is>
      </c>
    </row>
    <row r="18">
      <c r="B18" s="30" t="inlineStr">
        <is>
          <t>Load / BW</t>
        </is>
      </c>
      <c r="C18" s="30" t="inlineStr">
        <is>
          <t>Approx. climbing level</t>
        </is>
      </c>
      <c r="D18" s="28" t="n"/>
      <c r="E18" s="29" t="n"/>
    </row>
    <row r="19">
      <c r="B19" s="27" t="inlineStr">
        <is>
          <t>&lt;100% BW</t>
        </is>
      </c>
      <c r="C19" s="27" t="inlineStr">
        <is>
          <t>Beginner climber (5.10/V3)</t>
        </is>
      </c>
      <c r="D19" s="28" t="n"/>
      <c r="E19" s="29" t="n"/>
    </row>
    <row r="20">
      <c r="B20" s="27" t="inlineStr">
        <is>
          <t>100-130% BW</t>
        </is>
      </c>
      <c r="C20" s="27" t="inlineStr">
        <is>
          <t>Intermediate (5.11/V5)</t>
        </is>
      </c>
      <c r="D20" s="28" t="n"/>
      <c r="E20" s="29" t="n"/>
    </row>
    <row r="21">
      <c r="B21" s="27" t="inlineStr">
        <is>
          <t>130-160% BW</t>
        </is>
      </c>
      <c r="C21" s="27" t="inlineStr">
        <is>
          <t>Solid (5.12/V7)</t>
        </is>
      </c>
      <c r="D21" s="28" t="n"/>
      <c r="E21" s="29" t="n"/>
    </row>
    <row r="22">
      <c r="B22" s="27" t="inlineStr">
        <is>
          <t>160-180% BW</t>
        </is>
      </c>
      <c r="C22" s="27" t="inlineStr">
        <is>
          <t>Advanced (5.13/V9)</t>
        </is>
      </c>
      <c r="D22" s="28" t="n"/>
      <c r="E22" s="29" t="n"/>
    </row>
    <row r="23">
      <c r="B23" s="27" t="inlineStr">
        <is>
          <t>&gt;180% BW</t>
        </is>
      </c>
      <c r="C23" s="27" t="inlineStr">
        <is>
          <t>Elite (5.14+/V11+)</t>
        </is>
      </c>
      <c r="D23" s="28" t="n"/>
      <c r="E23" s="29" t="n"/>
    </row>
    <row r="25" ht="18.75" customHeight="1" s="22">
      <c r="B25" s="25" t="inlineStr">
        <is>
          <t>Antagonist / prehab block (post-test)</t>
        </is>
      </c>
    </row>
    <row r="26">
      <c r="B26" s="26" t="inlineStr">
        <is>
          <t>• Band external rotations — 3 x 12 each side</t>
        </is>
      </c>
    </row>
    <row r="27">
      <c r="B27" s="26" t="inlineStr">
        <is>
          <t>• Scapular pull-ups (dead hang, no chin-up) — 3 x 10</t>
        </is>
      </c>
    </row>
    <row r="28">
      <c r="B28" s="26" t="inlineStr">
        <is>
          <t>• Push-ups (narrow elbows) — 3 x 12-15</t>
        </is>
      </c>
    </row>
    <row r="29">
      <c r="B29" s="26" t="inlineStr">
        <is>
          <t>• Wrist extensor curls (light DB or band) — 3 x 15</t>
        </is>
      </c>
    </row>
    <row r="30">
      <c r="B30" s="26" t="inlineStr">
        <is>
          <t>• Hip flexor + thoracic mobility — 5 min</t>
        </is>
      </c>
    </row>
  </sheetData>
  <mergeCells count="18">
    <mergeCell ref="B3:G3"/>
    <mergeCell ref="B2:G2"/>
    <mergeCell ref="B10:G10"/>
    <mergeCell ref="B28:G28"/>
    <mergeCell ref="C19:E19"/>
    <mergeCell ref="C23:E23"/>
    <mergeCell ref="B9:G9"/>
    <mergeCell ref="C22:E22"/>
    <mergeCell ref="C18:E18"/>
    <mergeCell ref="B27:G27"/>
    <mergeCell ref="B26:G26"/>
    <mergeCell ref="B12:G12"/>
    <mergeCell ref="C21:E21"/>
    <mergeCell ref="B30:G30"/>
    <mergeCell ref="C20:E20"/>
    <mergeCell ref="B29:G29"/>
    <mergeCell ref="B7:G7"/>
    <mergeCell ref="B11:G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C6" sqref="C6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5 — Power + work capacity</t>
        </is>
      </c>
    </row>
    <row r="3">
      <c r="B3" s="21" t="inlineStr">
        <is>
          <t>Power lifts first (fresh CNS), then 2K row TT.</t>
        </is>
      </c>
    </row>
    <row r="5">
      <c r="B5" s="4" t="inlineStr">
        <is>
          <t>Bodyweight (lb):</t>
        </is>
      </c>
      <c r="C5" s="12" t="n">
        <v>175</v>
      </c>
    </row>
    <row r="7" ht="18.75" customHeight="1" s="22">
      <c r="B7" s="25" t="inlineStr">
        <is>
          <t>Power lifts (3RM)</t>
        </is>
      </c>
    </row>
    <row r="8" ht="30" customHeight="1" s="22">
      <c r="B8" s="13" t="inlineStr">
        <is>
          <t>Lift</t>
        </is>
      </c>
      <c r="C8" s="13" t="inlineStr">
        <is>
          <t>Weight (lb)</t>
        </is>
      </c>
      <c r="D8" s="13" t="inlineStr">
        <is>
          <t>Reps</t>
        </is>
      </c>
      <c r="E8" s="13" t="inlineStr">
        <is>
          <t>Est. 1RM (Epley)</t>
        </is>
      </c>
      <c r="F8" s="13" t="inlineStr">
        <is>
          <t>RPE</t>
        </is>
      </c>
      <c r="G8" s="13" t="inlineStr">
        <is>
          <t>Notes</t>
        </is>
      </c>
    </row>
    <row r="10">
      <c r="B10" s="27" t="inlineStr">
        <is>
          <t>Power Clean</t>
        </is>
      </c>
      <c r="C10" s="12" t="n">
        <v>165</v>
      </c>
      <c r="D10" s="12" t="n">
        <v>3</v>
      </c>
      <c r="E10" s="15">
        <f>IF(AND(ISNUMBER(C10),ISNUMBER(D10)),ROUND(C10*(1+D10/30),0),"")</f>
        <v/>
      </c>
      <c r="F10" s="12" t="n">
        <v>10</v>
      </c>
      <c r="G10" s="27" t="inlineStr">
        <is>
          <t>Catch high, no full squat</t>
        </is>
      </c>
    </row>
    <row r="11">
      <c r="B11" s="27" t="inlineStr">
        <is>
          <t>Front Squat</t>
        </is>
      </c>
      <c r="C11" s="12" t="n">
        <v>225</v>
      </c>
      <c r="D11" s="12" t="n">
        <v>3</v>
      </c>
      <c r="E11" s="15">
        <f>IF(AND(ISNUMBER(C11),ISNUMBER(D11)),ROUND(C11*(1+D11/30),0),"")</f>
        <v/>
      </c>
      <c r="F11" s="12" t="n">
        <v>10</v>
      </c>
      <c r="G11" s="27" t="inlineStr">
        <is>
          <t>Clean rack or cross-arm</t>
        </is>
      </c>
    </row>
    <row r="14" ht="18.75" customHeight="1" s="22">
      <c r="B14" s="25" t="inlineStr">
        <is>
          <t>2000m row time trial</t>
        </is>
      </c>
    </row>
    <row r="15">
      <c r="B15" s="13" t="inlineStr">
        <is>
          <t>Metric</t>
        </is>
      </c>
      <c r="C15" s="13" t="inlineStr">
        <is>
          <t>Value</t>
        </is>
      </c>
      <c r="D15" s="13" t="inlineStr">
        <is>
          <t>Unit</t>
        </is>
      </c>
      <c r="E15" s="13" t="n"/>
      <c r="F15" s="13" t="n"/>
      <c r="G15" s="13" t="inlineStr">
        <is>
          <t>Notes</t>
        </is>
      </c>
    </row>
    <row r="16">
      <c r="B16" s="24" t="inlineStr">
        <is>
          <t>Rest 10-15 min after the lifts. Go all-out for 2000m. Record time and avg watts/split.</t>
        </is>
      </c>
    </row>
    <row r="17">
      <c r="B17" s="24" t="inlineStr">
        <is>
          <t>Gym Jones benchmarks: &lt;8 min = fit; &lt;7:30 = strong; &lt;7:00 = excellent for general athletes.</t>
        </is>
      </c>
    </row>
    <row r="19">
      <c r="B19" s="27" t="inlineStr">
        <is>
          <t>Time (mm:ss)</t>
        </is>
      </c>
      <c r="C19" s="32" t="n">
        <v>0.3361111111111111</v>
      </c>
      <c r="D19" s="27" t="inlineStr">
        <is>
          <t>mm:ss</t>
        </is>
      </c>
    </row>
    <row r="20">
      <c r="B20" s="27" t="inlineStr">
        <is>
          <t>Average split (per 500m)</t>
        </is>
      </c>
      <c r="C20" s="32" t="n">
        <v>0.08402777777777778</v>
      </c>
      <c r="D20" s="27" t="inlineStr">
        <is>
          <t>mm:ss</t>
        </is>
      </c>
    </row>
    <row r="21">
      <c r="B21" s="27" t="inlineStr">
        <is>
          <t>Average watts</t>
        </is>
      </c>
      <c r="C21" s="12" t="n">
        <v>197</v>
      </c>
      <c r="D21" s="27" t="inlineStr">
        <is>
          <t>W</t>
        </is>
      </c>
    </row>
    <row r="22">
      <c r="B22" s="27" t="inlineStr">
        <is>
          <t>Peak HR</t>
        </is>
      </c>
      <c r="C22" s="12" t="n">
        <v>186</v>
      </c>
      <c r="D22" s="27" t="inlineStr">
        <is>
          <t>bpm</t>
        </is>
      </c>
    </row>
    <row r="23">
      <c r="B23" s="27" t="inlineStr">
        <is>
          <t>RPE</t>
        </is>
      </c>
      <c r="C23" s="12" t="n">
        <v>10</v>
      </c>
      <c r="D23" s="27" t="inlineStr">
        <is>
          <t>1-10</t>
        </is>
      </c>
    </row>
  </sheetData>
  <mergeCells count="6">
    <mergeCell ref="B3:G3"/>
    <mergeCell ref="B2:G2"/>
    <mergeCell ref="B16:G16"/>
    <mergeCell ref="B14:G14"/>
    <mergeCell ref="B17:G17"/>
    <mergeCell ref="B7:G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29"/>
  <sheetViews>
    <sheetView workbookViewId="0">
      <selection activeCell="F30" sqref="F30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6 — Loaded mountain baseline</t>
        </is>
      </c>
    </row>
    <row r="3">
      <c r="B3" s="21" t="inlineStr">
        <is>
          <t>Pack hike @ 75% MHR or 35# ruck for distance.</t>
        </is>
      </c>
    </row>
    <row r="5">
      <c r="B5" s="4" t="inlineStr">
        <is>
          <t>Bodyweight (lb):</t>
        </is>
      </c>
      <c r="C5" s="12" t="n">
        <v>175</v>
      </c>
    </row>
    <row r="6">
      <c r="B6" s="4" t="inlineStr">
        <is>
          <t>Estimated max HR (bpm):</t>
        </is>
      </c>
      <c r="C6" s="12" t="n">
        <v>186</v>
      </c>
      <c r="D6" s="21" t="n"/>
    </row>
    <row r="7">
      <c r="B7" s="4" t="inlineStr">
        <is>
          <t>75% MHR cap (bpm):</t>
        </is>
      </c>
      <c r="C7" s="15">
        <f>ROUND(C6*0.75,0)</f>
        <v/>
      </c>
    </row>
    <row r="9" ht="18.75" customHeight="1" s="22">
      <c r="B9" s="25" t="inlineStr">
        <is>
          <t>Option A — Hill pack hike</t>
        </is>
      </c>
    </row>
    <row r="10">
      <c r="B10" s="13" t="inlineStr">
        <is>
          <t>Metric</t>
        </is>
      </c>
      <c r="C10" s="13" t="inlineStr">
        <is>
          <t>Value</t>
        </is>
      </c>
      <c r="D10" s="13" t="inlineStr">
        <is>
          <t>Unit</t>
        </is>
      </c>
      <c r="E10" s="13" t="n"/>
      <c r="F10" s="13" t="n"/>
      <c r="G10" s="13" t="inlineStr">
        <is>
          <t>Notes</t>
        </is>
      </c>
    </row>
    <row r="11">
      <c r="B11" s="24" t="inlineStr">
        <is>
          <t>Pick a known local hill or trail with 500-1000 ft of gain. Maintain ≤75% MHR.</t>
        </is>
      </c>
    </row>
    <row r="12">
      <c r="B12" s="24" t="inlineStr">
        <is>
          <t>Same trail, same pack weight, same HR cap on every re-test.</t>
        </is>
      </c>
    </row>
    <row r="14">
      <c r="B14" s="27" t="inlineStr">
        <is>
          <t>Trail / hill name</t>
        </is>
      </c>
      <c r="C14" s="12" t="n"/>
      <c r="D14" s="27" t="inlineStr">
        <is>
          <t>lb</t>
        </is>
      </c>
    </row>
    <row r="15">
      <c r="B15" s="27" t="inlineStr">
        <is>
          <t>Pack weight (lb)</t>
        </is>
      </c>
      <c r="C15" s="12" t="n"/>
      <c r="D15" s="27" t="inlineStr">
        <is>
          <t>lb</t>
        </is>
      </c>
    </row>
    <row r="16">
      <c r="B16" s="27" t="inlineStr">
        <is>
          <t>Total time (mm:ss)</t>
        </is>
      </c>
      <c r="C16" s="12" t="n"/>
      <c r="D16" s="27" t="inlineStr">
        <is>
          <t>mm:ss</t>
        </is>
      </c>
    </row>
    <row r="17">
      <c r="B17" s="27" t="inlineStr">
        <is>
          <t>Total elevation gain (ft)</t>
        </is>
      </c>
      <c r="C17" s="12" t="n"/>
      <c r="D17" s="27" t="inlineStr">
        <is>
          <t>ft</t>
        </is>
      </c>
    </row>
    <row r="18">
      <c r="B18" s="27" t="inlineStr">
        <is>
          <t>Total distance (mi)</t>
        </is>
      </c>
      <c r="C18" s="12" t="n"/>
      <c r="D18" s="27" t="inlineStr">
        <is>
          <t>mi</t>
        </is>
      </c>
    </row>
    <row r="19">
      <c r="B19" s="27" t="inlineStr">
        <is>
          <t>Avg HR (bpm)</t>
        </is>
      </c>
      <c r="C19" s="12" t="n"/>
      <c r="D19" s="27" t="inlineStr">
        <is>
          <t>bpm</t>
        </is>
      </c>
    </row>
    <row r="22" ht="18.75" customHeight="1" s="22">
      <c r="B22" s="25" t="inlineStr">
        <is>
          <t>Option B — Flat 60-min ruck</t>
        </is>
      </c>
    </row>
    <row r="23">
      <c r="B23" s="13" t="inlineStr">
        <is>
          <t>Metric</t>
        </is>
      </c>
      <c r="C23" s="13" t="inlineStr">
        <is>
          <t>Value</t>
        </is>
      </c>
      <c r="D23" s="13" t="inlineStr">
        <is>
          <t>Unit</t>
        </is>
      </c>
      <c r="E23" s="13" t="n"/>
      <c r="F23" s="13" t="n"/>
      <c r="G23" s="13" t="inlineStr">
        <is>
          <t>Notes</t>
        </is>
      </c>
    </row>
    <row r="24">
      <c r="B24" s="24" t="inlineStr">
        <is>
          <t>Use if hill access isn't available. 60 minutes at 35# pack, push the pace.</t>
        </is>
      </c>
    </row>
    <row r="26">
      <c r="B26" s="27" t="inlineStr">
        <is>
          <t>Pack weight (lb)</t>
        </is>
      </c>
      <c r="C26" s="12" t="n">
        <v>35</v>
      </c>
      <c r="D26" s="27" t="inlineStr">
        <is>
          <t>lb</t>
        </is>
      </c>
    </row>
    <row r="27">
      <c r="B27" s="27" t="inlineStr">
        <is>
          <t>Total distance (mi)</t>
        </is>
      </c>
      <c r="C27" s="12" t="n">
        <v>4.38</v>
      </c>
      <c r="D27" s="27" t="inlineStr">
        <is>
          <t>mi</t>
        </is>
      </c>
    </row>
    <row r="28">
      <c r="B28" s="27" t="inlineStr">
        <is>
          <t>Avg pace (min/mi)</t>
        </is>
      </c>
      <c r="C28" s="32" t="n">
        <v>0.5708333333333333</v>
      </c>
      <c r="D28" s="27" t="inlineStr">
        <is>
          <t>min/mi</t>
        </is>
      </c>
    </row>
    <row r="29">
      <c r="B29" s="27" t="inlineStr">
        <is>
          <t>Avg HR (bpm)</t>
        </is>
      </c>
      <c r="C29" s="12" t="n">
        <v>140</v>
      </c>
      <c r="D29" s="27" t="inlineStr">
        <is>
          <t>bpm</t>
        </is>
      </c>
    </row>
  </sheetData>
  <mergeCells count="7">
    <mergeCell ref="B3:G3"/>
    <mergeCell ref="B2:G2"/>
    <mergeCell ref="B24:G24"/>
    <mergeCell ref="B22:G22"/>
    <mergeCell ref="B9:G9"/>
    <mergeCell ref="B12:G12"/>
    <mergeCell ref="B11:G1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G41"/>
  <sheetViews>
    <sheetView topLeftCell="A12" workbookViewId="0">
      <selection activeCell="F25" sqref="F25"/>
    </sheetView>
  </sheetViews>
  <sheetFormatPr baseColWidth="8" defaultRowHeight="15"/>
  <cols>
    <col width="4" customWidth="1" style="22" min="1" max="1"/>
    <col width="28" customWidth="1" style="22" min="2" max="2"/>
    <col width="14" customWidth="1" style="22" min="3" max="6"/>
    <col width="40" customWidth="1" style="22" min="7" max="7"/>
  </cols>
  <sheetData>
    <row r="2" ht="23.25" customHeight="1" s="22">
      <c r="B2" s="23" t="inlineStr">
        <is>
          <t>Day 7 — Stillness + body measurements</t>
        </is>
      </c>
    </row>
    <row r="3">
      <c r="B3" s="21" t="inlineStr">
        <is>
          <t>Morning, fasted, post-pee. Quiet, no rush.</t>
        </is>
      </c>
    </row>
    <row r="5" ht="18.75" customHeight="1" s="22">
      <c r="B5" s="25" t="inlineStr">
        <is>
          <t>Body composition</t>
        </is>
      </c>
    </row>
    <row r="6">
      <c r="B6" s="13" t="inlineStr">
        <is>
          <t>Metric</t>
        </is>
      </c>
      <c r="C6" s="13" t="inlineStr">
        <is>
          <t>Value</t>
        </is>
      </c>
      <c r="D6" s="13" t="inlineStr">
        <is>
          <t>Unit</t>
        </is>
      </c>
      <c r="E6" s="13" t="n"/>
      <c r="F6" s="13" t="n"/>
      <c r="G6" s="13" t="inlineStr">
        <is>
          <t>Notes</t>
        </is>
      </c>
    </row>
    <row r="8">
      <c r="B8" s="27" t="inlineStr">
        <is>
          <t>Bodyweight (morning, fasted)</t>
        </is>
      </c>
      <c r="C8" s="12" t="n">
        <v>175</v>
      </c>
      <c r="D8" s="27" t="inlineStr">
        <is>
          <t>lb</t>
        </is>
      </c>
    </row>
    <row r="9">
      <c r="B9" s="27" t="inlineStr">
        <is>
          <t>Height</t>
        </is>
      </c>
      <c r="C9" s="12" t="n">
        <v>74</v>
      </c>
      <c r="D9" s="27" t="inlineStr">
        <is>
          <t>in</t>
        </is>
      </c>
    </row>
    <row r="10">
      <c r="B10" s="27" t="inlineStr">
        <is>
          <t>Waist (at navel)</t>
        </is>
      </c>
      <c r="C10" s="12" t="n">
        <v>34</v>
      </c>
      <c r="D10" s="27" t="inlineStr">
        <is>
          <t>in</t>
        </is>
      </c>
    </row>
    <row r="11">
      <c r="B11" s="27" t="inlineStr">
        <is>
          <t>Chest (across nipples)</t>
        </is>
      </c>
      <c r="C11" s="12" t="n">
        <v>38</v>
      </c>
      <c r="D11" s="27" t="inlineStr">
        <is>
          <t>in</t>
        </is>
      </c>
    </row>
    <row r="12">
      <c r="B12" s="27" t="inlineStr">
        <is>
          <t>Thigh (mid-thigh, larger leg)</t>
        </is>
      </c>
      <c r="C12" s="12" t="n">
        <v>22</v>
      </c>
      <c r="D12" s="27" t="inlineStr">
        <is>
          <t>in</t>
        </is>
      </c>
    </row>
    <row r="13">
      <c r="B13" s="27" t="inlineStr">
        <is>
          <t>Bicep (cold, flexed)</t>
        </is>
      </c>
      <c r="C13" s="12" t="n">
        <v>13.5</v>
      </c>
      <c r="D13" s="27" t="inlineStr">
        <is>
          <t>in</t>
        </is>
      </c>
    </row>
    <row r="16" ht="18.75" customHeight="1" s="22">
      <c r="B16" s="25" t="inlineStr">
        <is>
          <t>Resting cardiovascular</t>
        </is>
      </c>
    </row>
    <row r="17">
      <c r="B17" s="13" t="inlineStr">
        <is>
          <t>Metric</t>
        </is>
      </c>
      <c r="C17" s="13" t="inlineStr">
        <is>
          <t>Value</t>
        </is>
      </c>
      <c r="D17" s="13" t="inlineStr">
        <is>
          <t>Unit</t>
        </is>
      </c>
      <c r="E17" s="13" t="n"/>
      <c r="F17" s="13" t="n"/>
      <c r="G17" s="13" t="inlineStr">
        <is>
          <t>Notes</t>
        </is>
      </c>
    </row>
    <row r="19">
      <c r="B19" s="27" t="inlineStr">
        <is>
          <t>Avg resting HR (last 7 days)</t>
        </is>
      </c>
      <c r="C19" s="12" t="n">
        <v>59</v>
      </c>
      <c r="D19" s="27" t="inlineStr">
        <is>
          <t>bpm</t>
        </is>
      </c>
    </row>
    <row r="20">
      <c r="B20" s="27" t="inlineStr">
        <is>
          <t>Morning HR today</t>
        </is>
      </c>
      <c r="C20" s="12" t="n">
        <v>70</v>
      </c>
      <c r="D20" s="27" t="inlineStr">
        <is>
          <t>bpm</t>
        </is>
      </c>
    </row>
    <row r="21">
      <c r="B21" s="27" t="inlineStr">
        <is>
          <t>HRV (if measured, ms)</t>
        </is>
      </c>
      <c r="C21" s="12" t="n">
        <v>47</v>
      </c>
      <c r="D21" s="27" t="inlineStr">
        <is>
          <t>ms</t>
        </is>
      </c>
    </row>
    <row r="24" ht="18.75" customHeight="1" s="22">
      <c r="B24" s="25" t="inlineStr">
        <is>
          <t>Mobility screen</t>
        </is>
      </c>
    </row>
    <row r="25">
      <c r="B25" s="13" t="inlineStr">
        <is>
          <t>Test</t>
        </is>
      </c>
      <c r="C25" s="13" t="inlineStr">
        <is>
          <t>Left</t>
        </is>
      </c>
      <c r="D25" s="13" t="inlineStr">
        <is>
          <t>Right</t>
        </is>
      </c>
      <c r="E25" s="13" t="inlineStr">
        <is>
          <t>Pass/Fail</t>
        </is>
      </c>
      <c r="F25" s="13" t="n"/>
      <c r="G25" s="13" t="inlineStr">
        <is>
          <t>Notes</t>
        </is>
      </c>
    </row>
    <row r="26">
      <c r="B26" s="24" t="inlineStr">
        <is>
          <t>Knee-to-wall: ankle dorsiflexion in cm/inches — toe to wall distance where knee still touches.</t>
        </is>
      </c>
    </row>
    <row r="27">
      <c r="B27" s="24" t="inlineStr">
        <is>
          <t>Overhead squat hold: 10 sec at bottom, arms fully overhead. Note: clean / ugly / fail.</t>
        </is>
      </c>
    </row>
    <row r="28">
      <c r="B28" s="24" t="inlineStr">
        <is>
          <t>Shoulder flexion lying: lying on back, raise arms overhead. Can hand touch floor without ribs flaring?</t>
        </is>
      </c>
    </row>
    <row r="30">
      <c r="B30" s="27" t="inlineStr">
        <is>
          <t>Knee-to-wall (in)</t>
        </is>
      </c>
      <c r="C30" s="12" t="n">
        <v>5</v>
      </c>
      <c r="D30" s="12" t="n">
        <v>5</v>
      </c>
      <c r="E30" s="12" t="inlineStr">
        <is>
          <t>Pass</t>
        </is>
      </c>
    </row>
    <row r="31">
      <c r="B31" s="27" t="inlineStr">
        <is>
          <t>Overhead squat 10s hold</t>
        </is>
      </c>
      <c r="C31" s="12" t="inlineStr">
        <is>
          <t>Clean</t>
        </is>
      </c>
      <c r="D31" s="18" t="n"/>
      <c r="E31" s="12" t="inlineStr">
        <is>
          <t>Pass</t>
        </is>
      </c>
    </row>
    <row r="32">
      <c r="B32" s="27" t="inlineStr">
        <is>
          <t>Shoulder flexion (supine)</t>
        </is>
      </c>
      <c r="C32" s="12" t="inlineStr">
        <is>
          <t>Pass</t>
        </is>
      </c>
      <c r="D32" s="18" t="n"/>
      <c r="E32" s="12" t="inlineStr">
        <is>
          <t>Pass</t>
        </is>
      </c>
    </row>
    <row r="33">
      <c r="B33" s="27" t="inlineStr">
        <is>
          <t>Couch stretch tolerance (min/side)</t>
        </is>
      </c>
      <c r="C33" s="12" t="n">
        <v>2</v>
      </c>
      <c r="D33" s="12" t="n">
        <v>2</v>
      </c>
      <c r="E33" s="12" t="inlineStr">
        <is>
          <t>Pass</t>
        </is>
      </c>
    </row>
    <row r="36">
      <c r="B36" s="4" t="inlineStr">
        <is>
          <t>Week reflection (energy, sleep avg, anything notable):</t>
        </is>
      </c>
    </row>
    <row r="37" ht="99.95" customHeight="1" s="22">
      <c r="B37" s="42" t="inlineStr">
        <is>
          <t>Energy was good all week. Slept on average 8 hours per night. Nothing else really notable.</t>
        </is>
      </c>
      <c r="C37" s="51" t="n"/>
      <c r="D37" s="51" t="n"/>
      <c r="E37" s="51" t="n"/>
      <c r="F37" s="51" t="n"/>
      <c r="G37" s="52" t="n"/>
    </row>
    <row r="38">
      <c r="B38" s="53" t="n"/>
      <c r="G38" s="54" t="n"/>
    </row>
    <row r="39">
      <c r="B39" s="53" t="n"/>
      <c r="G39" s="54" t="n"/>
    </row>
    <row r="40">
      <c r="B40" s="53" t="n"/>
      <c r="G40" s="54" t="n"/>
    </row>
    <row r="41">
      <c r="B41" s="55" t="n"/>
      <c r="C41" s="56" t="n"/>
      <c r="D41" s="56" t="n"/>
      <c r="E41" s="56" t="n"/>
      <c r="F41" s="56" t="n"/>
      <c r="G41" s="57" t="n"/>
    </row>
  </sheetData>
  <mergeCells count="9">
    <mergeCell ref="B3:G3"/>
    <mergeCell ref="B2:G2"/>
    <mergeCell ref="B24:G24"/>
    <mergeCell ref="B16:G16"/>
    <mergeCell ref="B37:G41"/>
    <mergeCell ref="B28:G28"/>
    <mergeCell ref="B5:G5"/>
    <mergeCell ref="B27:G27"/>
    <mergeCell ref="B26:G2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E41"/>
  <sheetViews>
    <sheetView tabSelected="1" workbookViewId="0">
      <selection activeCell="B39" sqref="B39:E39"/>
    </sheetView>
  </sheetViews>
  <sheetFormatPr baseColWidth="8" defaultRowHeight="15"/>
  <cols>
    <col width="4" customWidth="1" style="22" min="1" max="1"/>
    <col width="32" customWidth="1" style="22" min="2" max="2"/>
    <col width="16" customWidth="1" style="22" min="3" max="4"/>
    <col width="50" customWidth="1" style="22" min="5" max="5"/>
  </cols>
  <sheetData>
    <row r="2" ht="23.25" customHeight="1" s="22">
      <c r="B2" s="23" t="inlineStr">
        <is>
          <t>Baseline Summary</t>
        </is>
      </c>
    </row>
    <row r="3">
      <c r="B3" s="21" t="inlineStr">
        <is>
          <t>Auto-pulled from each day tab. This is what we program off.</t>
        </is>
      </c>
    </row>
    <row r="5" ht="18.75" customHeight="1" s="22">
      <c r="B5" s="25" t="inlineStr">
        <is>
          <t>Strength (est. 1RM)</t>
        </is>
      </c>
    </row>
    <row r="6">
      <c r="B6" s="19" t="inlineStr">
        <is>
          <t>Back Squat</t>
        </is>
      </c>
      <c r="C6" s="15">
        <f>'Day 1 - Lower'!E12</f>
        <v/>
      </c>
      <c r="E6" s="20" t="inlineStr">
        <is>
          <t>Target: 2x BW back squat for Gym Jones strength phase entry</t>
        </is>
      </c>
    </row>
    <row r="7">
      <c r="B7" s="19" t="inlineStr">
        <is>
          <t>Deadlift</t>
        </is>
      </c>
      <c r="C7" s="15">
        <f>'Day 1 - Lower'!E13</f>
        <v/>
      </c>
      <c r="E7" s="20" t="inlineStr">
        <is>
          <t>Target: 2x BW</t>
        </is>
      </c>
    </row>
    <row r="8">
      <c r="B8" s="19" t="inlineStr">
        <is>
          <t>Bench Press</t>
        </is>
      </c>
      <c r="C8" s="15">
        <f>'Day 3 - Upper'!E10</f>
        <v/>
      </c>
      <c r="E8" s="20" t="inlineStr">
        <is>
          <t>Target: 1.25-1.5x BW for tactical/operator standard</t>
        </is>
      </c>
    </row>
    <row r="9">
      <c r="B9" s="19" t="inlineStr">
        <is>
          <t>Strict Press</t>
        </is>
      </c>
      <c r="C9" s="15">
        <f>'Day 3 - Upper'!E11</f>
        <v/>
      </c>
      <c r="E9" s="20" t="inlineStr">
        <is>
          <t>Target: 0.75x BW</t>
        </is>
      </c>
    </row>
    <row r="10">
      <c r="B10" s="19" t="inlineStr">
        <is>
          <t>Front Squat</t>
        </is>
      </c>
      <c r="C10" s="15">
        <f>'Day 5 - Power'!E11</f>
        <v/>
      </c>
      <c r="E10" s="20" t="inlineStr">
        <is>
          <t>Target: 1.5x BW for Gym Jones Strength Phase prereq</t>
        </is>
      </c>
    </row>
    <row r="11">
      <c r="B11" s="19" t="inlineStr">
        <is>
          <t>Power Clean</t>
        </is>
      </c>
      <c r="C11" s="15">
        <f>'Day 5 - Power'!E10</f>
        <v/>
      </c>
      <c r="E11" s="20" t="inlineStr">
        <is>
          <t>Target: 1x BW</t>
        </is>
      </c>
    </row>
    <row r="12">
      <c r="B12" s="19" t="inlineStr">
        <is>
          <t>Max strict pull-ups</t>
        </is>
      </c>
      <c r="C12" s="15">
        <f>'Day 3 - Upper'!C17</f>
        <v/>
      </c>
      <c r="E12" s="20" t="inlineStr">
        <is>
          <t>Target: 15+ for Gym Jones Operator IV/V</t>
        </is>
      </c>
    </row>
    <row r="13">
      <c r="B13" s="19" t="inlineStr">
        <is>
          <t>Weighted Pull-up (est 1RM)</t>
        </is>
      </c>
      <c r="C13" s="15">
        <f>'Day 3 - Upper'!E18</f>
        <v/>
      </c>
      <c r="E13" s="20" t="inlineStr">
        <is>
          <t>Target: total = 1.5-2x BW</t>
        </is>
      </c>
    </row>
    <row r="15" ht="18.75" customHeight="1" s="22">
      <c r="B15" s="25" t="inlineStr">
        <is>
          <t>Aerobic / work capacity</t>
        </is>
      </c>
    </row>
    <row r="16">
      <c r="B16" s="19" t="inlineStr">
        <is>
          <t>MAF test distance (30 min)</t>
        </is>
      </c>
      <c r="C16" s="15">
        <f>'Day 2 - MAF'!C14</f>
        <v/>
      </c>
      <c r="E16" s="20" t="inlineStr">
        <is>
          <t>Re-test in 6 wks; faster pace at same HR = real aerobic gain</t>
        </is>
      </c>
    </row>
    <row r="17">
      <c r="B17" s="19" t="inlineStr">
        <is>
          <t>MAF avg pace</t>
        </is>
      </c>
      <c r="C17" s="15">
        <f>'Day 2 - MAF'!C16</f>
        <v/>
      </c>
      <c r="E17" s="20" t="n"/>
    </row>
    <row r="18">
      <c r="B18" s="19" t="inlineStr">
        <is>
          <t>2K row time</t>
        </is>
      </c>
      <c r="C18" s="15">
        <f>'Day 5 - Power'!C19</f>
        <v/>
      </c>
      <c r="E18" s="20" t="inlineStr">
        <is>
          <t>&lt;7:30 = strong; &lt;7:00 = excellent</t>
        </is>
      </c>
    </row>
    <row r="19">
      <c r="B19" s="19" t="inlineStr">
        <is>
          <t>Avg row split (per 500m)</t>
        </is>
      </c>
      <c r="C19" s="15">
        <f>'Day 5 - Power'!C20</f>
        <v/>
      </c>
      <c r="E19" s="20" t="n"/>
    </row>
    <row r="21" ht="18.75" customHeight="1" s="22">
      <c r="B21" s="25" t="inlineStr">
        <is>
          <t>Mountain / loaded</t>
        </is>
      </c>
    </row>
    <row r="22">
      <c r="B22" s="19" t="inlineStr">
        <is>
          <t>Hill pack hike time</t>
        </is>
      </c>
      <c r="C22" s="15">
        <f>'Day 6 - Mountain'!C16</f>
        <v/>
      </c>
      <c r="E22" s="20" t="inlineStr">
        <is>
          <t>Same hill, same pack on re-test</t>
        </is>
      </c>
    </row>
    <row r="23">
      <c r="B23" s="19" t="inlineStr">
        <is>
          <t>Elevation gain (ft)</t>
        </is>
      </c>
      <c r="C23" s="15">
        <f>'Day 6 - Mountain'!C17</f>
        <v/>
      </c>
      <c r="E23" s="20" t="n"/>
    </row>
    <row r="24">
      <c r="B24" s="19" t="inlineStr">
        <is>
          <t>Flat ruck distance (60 min @ 35#)</t>
        </is>
      </c>
      <c r="C24" s="15">
        <f>'Day 6 - Mountain'!C27</f>
        <v/>
      </c>
      <c r="E24" s="20" t="inlineStr">
        <is>
          <t>Alternative if no hill</t>
        </is>
      </c>
    </row>
    <row r="26" ht="18.75" customHeight="1" s="22">
      <c r="B26" s="25" t="inlineStr">
        <is>
          <t>Climbing / finger strength</t>
        </is>
      </c>
    </row>
    <row r="27">
      <c r="B27" s="19" t="inlineStr">
        <is>
          <t>Lattice 20mm 2-arm load</t>
        </is>
      </c>
      <c r="C27" s="15">
        <f>'Day 4 - Finger'!E15</f>
        <v/>
      </c>
      <c r="E27" s="20" t="inlineStr">
        <is>
          <t>% BW — see benchmark guide on Day 4 tab</t>
        </is>
      </c>
    </row>
    <row r="28">
      <c r="B28" s="19" t="inlineStr">
        <is>
          <t>Max BW hang time</t>
        </is>
      </c>
      <c r="C28" s="15">
        <f>'Day 4 - Finger'!C14</f>
        <v/>
      </c>
      <c r="E28" s="20" t="inlineStr">
        <is>
          <t>Useful for endurance baseline</t>
        </is>
      </c>
    </row>
    <row r="30" ht="18.75" customHeight="1" s="22">
      <c r="B30" s="25" t="inlineStr">
        <is>
          <t>Body composition</t>
        </is>
      </c>
    </row>
    <row r="31">
      <c r="B31" s="19" t="inlineStr">
        <is>
          <t>Bodyweight (Sun morning)</t>
        </is>
      </c>
      <c r="C31" s="15">
        <f>'Day 7 - Stillness'!C8</f>
        <v/>
      </c>
      <c r="E31" s="20" t="inlineStr">
        <is>
          <t>Will track 2x/wk going forward</t>
        </is>
      </c>
    </row>
    <row r="32">
      <c r="B32" s="19" t="inlineStr">
        <is>
          <t>Waist (at navel)</t>
        </is>
      </c>
      <c r="C32" s="15">
        <f>'Day 7 - Stillness'!C10</f>
        <v/>
      </c>
      <c r="E32" s="20" t="inlineStr">
        <is>
          <t>Best single body-comp proxy</t>
        </is>
      </c>
    </row>
    <row r="33">
      <c r="B33" s="19" t="inlineStr">
        <is>
          <t>Avg resting HR</t>
        </is>
      </c>
      <c r="C33" s="15">
        <f>'Day 7 - Stillness'!C19</f>
        <v/>
      </c>
      <c r="E33" s="20" t="inlineStr">
        <is>
          <t>Will flag readiness if +7 bpm above this</t>
        </is>
      </c>
    </row>
    <row r="36" ht="18.75" customHeight="1" s="22">
      <c r="B36" s="25" t="inlineStr">
        <is>
          <t>What we'll do with this data</t>
        </is>
      </c>
    </row>
    <row r="37">
      <c r="B37" s="31" t="inlineStr">
        <is>
          <t>1. Set training maxes for strength block: TM = 90% of estimated 1RM.</t>
        </is>
      </c>
    </row>
    <row r="38">
      <c r="B38" s="31" t="inlineStr">
        <is>
          <t>2. Set 30/30 interval pace from the MAF test result (work pace ≈ MAF pace × 1.3-1.4).</t>
        </is>
      </c>
    </row>
    <row r="39">
      <c r="B39" s="31" t="inlineStr">
        <is>
          <t>3. Set hangboard load: max-strength hangs at ~85-90% of your max-7s hang load.</t>
        </is>
      </c>
    </row>
    <row r="40">
      <c r="B40" s="31" t="inlineStr">
        <is>
          <t>4. Set MAF retest schedule (every 4-6 wks) and lift retest schedule (every 6-12 wks).</t>
        </is>
      </c>
    </row>
    <row r="41">
      <c r="B41" s="31" t="inlineStr">
        <is>
          <t>5. Decide first 8-week cycle emphasis based on what's weakest relative to targets.</t>
        </is>
      </c>
    </row>
  </sheetData>
  <mergeCells count="11">
    <mergeCell ref="B26:E26"/>
    <mergeCell ref="B41:E41"/>
    <mergeCell ref="B40:E40"/>
    <mergeCell ref="B21:E21"/>
    <mergeCell ref="B30:E30"/>
    <mergeCell ref="B38:E38"/>
    <mergeCell ref="B15:E15"/>
    <mergeCell ref="B39:E39"/>
    <mergeCell ref="B5:E5"/>
    <mergeCell ref="B37:E37"/>
    <mergeCell ref="B36:E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2026-05-25T04:20:05Z</dcterms:created>
  <dcterms:modified xmlns:dcterms="http://purl.org/dc/terms/" xmlns:xsi="http://www.w3.org/2001/XMLSchema-instance" xsi:type="dcterms:W3CDTF">2026-05-30T14:30:03Z</dcterms:modified>
  <cp:lastModifiedBy>Josh Kaemmerer</cp:lastModifiedBy>
</cp:coreProperties>
</file>